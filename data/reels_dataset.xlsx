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els Dataset" sheetId="1" state="visible" r:id="rId1"/>
  </sheets>
  <definedNames>
    <definedName name="_xlnm._FilterDatabase" localSheetId="0" hidden="1">'Reels Dataset'!$A$1:$T$11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 wrapText="1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 wrapText="1"/>
    </xf>
    <xf numFmtId="2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4" min="1" max="1"/>
    <col width="40" customWidth="1" style="4" min="2" max="2"/>
    <col width="16" customWidth="1" style="4" min="3" max="20"/>
  </cols>
  <sheetData>
    <row r="1" ht="23.85" customHeight="1" s="5">
      <c r="A1" s="6" t="inlineStr">
        <is>
          <t>Video</t>
        </is>
      </c>
      <c r="B1" s="6" t="inlineStr">
        <is>
          <t>Title</t>
        </is>
      </c>
      <c r="C1" s="6" t="inlineStr">
        <is>
          <t>Date</t>
        </is>
      </c>
      <c r="D1" s="6" t="inlineStr">
        <is>
          <t>Duration (s)</t>
        </is>
      </c>
      <c r="E1" s="6" t="inlineStr">
        <is>
          <t>Views</t>
        </is>
      </c>
      <c r="F1" s="6" t="inlineStr">
        <is>
          <t>Likes</t>
        </is>
      </c>
      <c r="G1" s="6" t="inlineStr">
        <is>
          <t>Comments</t>
        </is>
      </c>
      <c r="H1" s="6" t="inlineStr">
        <is>
          <t>Shares</t>
        </is>
      </c>
      <c r="I1" s="6" t="inlineStr">
        <is>
          <t>Reposts</t>
        </is>
      </c>
      <c r="J1" s="6" t="inlineStr">
        <is>
          <t>Saves</t>
        </is>
      </c>
      <c r="K1" s="6" t="inlineStr">
        <is>
          <t>Interactions</t>
        </is>
      </c>
      <c r="L1" s="6" t="inlineStr">
        <is>
          <t>New Followers</t>
        </is>
      </c>
      <c r="M1" s="6" t="inlineStr">
        <is>
          <t>Skip Rate (%)</t>
        </is>
      </c>
      <c r="N1" s="6" t="inlineStr">
        <is>
          <t>Avg Watch Time (s)</t>
        </is>
      </c>
      <c r="O1" s="6" t="inlineStr">
        <is>
          <t>Engagement Rate (%)</t>
        </is>
      </c>
      <c r="P1" s="6" t="inlineStr">
        <is>
          <t>Like/View (%)</t>
        </is>
      </c>
      <c r="Q1" s="6" t="inlineStr">
        <is>
          <t>Share/View (%)</t>
        </is>
      </c>
      <c r="R1" s="6" t="inlineStr">
        <is>
          <t>Save/View (%)</t>
        </is>
      </c>
      <c r="S1" s="6" t="inlineStr">
        <is>
          <t>Comment/Like (%)</t>
        </is>
      </c>
      <c r="T1" s="6" t="inlineStr">
        <is>
          <t>Category</t>
        </is>
      </c>
    </row>
    <row r="2" ht="15" customHeight="1" s="5">
      <c r="A2" s="4" t="n">
        <v>1</v>
      </c>
      <c r="B2" s="4" t="inlineStr">
        <is>
          <t>Things I wish I avoided as a freshman</t>
        </is>
      </c>
      <c r="C2" s="4" t="inlineStr">
        <is>
          <t>2025-09-12</t>
        </is>
      </c>
      <c r="D2" s="4" t="n">
        <v>8</v>
      </c>
      <c r="E2" s="4" t="n">
        <v>932650</v>
      </c>
      <c r="F2" s="4" t="n">
        <v>13000</v>
      </c>
      <c r="G2" s="4" t="n">
        <v>493</v>
      </c>
      <c r="H2" s="4" t="n">
        <v>1400</v>
      </c>
      <c r="I2" s="4" t="n">
        <v>117</v>
      </c>
      <c r="J2" s="4" t="n">
        <v>6300</v>
      </c>
      <c r="K2" s="4" t="n">
        <v>21585</v>
      </c>
      <c r="L2" s="4" t="n">
        <v>625</v>
      </c>
      <c r="M2" s="4" t="n">
        <v>35.6</v>
      </c>
      <c r="N2" s="4" t="n">
        <v>16</v>
      </c>
      <c r="O2" s="7">
        <f>(F2+G2+H2)/E2*100</f>
        <v/>
      </c>
      <c r="P2" s="7">
        <f>F2/E2*100</f>
        <v/>
      </c>
      <c r="Q2" s="7">
        <f>H2/E2*100</f>
        <v/>
      </c>
      <c r="R2" s="7">
        <f>J2/E2*100</f>
        <v/>
      </c>
      <c r="S2" s="7">
        <f>IF(F2=0,0,G2/F2*100)</f>
        <v/>
      </c>
      <c r="T2" s="4" t="inlineStr">
        <is>
          <t>HIGH</t>
        </is>
      </c>
    </row>
    <row r="3" ht="15" customHeight="1" s="5">
      <c r="A3" s="4" t="n">
        <v>2</v>
      </c>
      <c r="B3" s="4" t="inlineStr">
        <is>
          <t>ur sign to not be average</t>
        </is>
      </c>
      <c r="C3" s="4" t="inlineStr">
        <is>
          <t>2025-10-19</t>
        </is>
      </c>
      <c r="D3" s="4" t="n">
        <v>6</v>
      </c>
      <c r="E3" s="4" t="n">
        <v>1044125</v>
      </c>
      <c r="F3" s="4" t="n">
        <v>24000</v>
      </c>
      <c r="G3" s="4" t="n">
        <v>75</v>
      </c>
      <c r="H3" s="4" t="n">
        <v>3700</v>
      </c>
      <c r="I3" s="4" t="n">
        <v>560</v>
      </c>
      <c r="J3" s="4" t="n">
        <v>8200</v>
      </c>
      <c r="K3" s="4" t="n">
        <v>36418</v>
      </c>
      <c r="L3" s="4" t="n">
        <v>194</v>
      </c>
      <c r="M3" s="4" t="n">
        <v>30</v>
      </c>
      <c r="N3" s="4" t="n">
        <v>8</v>
      </c>
      <c r="O3" s="7">
        <f>(F3+G3+H3)/E3*100</f>
        <v/>
      </c>
      <c r="P3" s="7">
        <f>F3/E3*100</f>
        <v/>
      </c>
      <c r="Q3" s="7">
        <f>H3/E3*100</f>
        <v/>
      </c>
      <c r="R3" s="7">
        <f>J3/E3*100</f>
        <v/>
      </c>
      <c r="S3" s="7">
        <f>IF(F3=0,0,G3/F3*100)</f>
        <v/>
      </c>
      <c r="T3" s="4" t="inlineStr">
        <is>
          <t>HIGH</t>
        </is>
      </c>
    </row>
    <row r="4" ht="15" customHeight="1" s="5">
      <c r="A4" s="4" t="n">
        <v>3</v>
      </c>
      <c r="B4" s="4" t="inlineStr">
        <is>
          <t>What to do the FIRST TWO weeks</t>
        </is>
      </c>
      <c r="C4" s="4" t="inlineStr">
        <is>
          <t>2025-07-23</t>
        </is>
      </c>
      <c r="D4" s="4" t="n">
        <v>51</v>
      </c>
      <c r="E4" s="4" t="n">
        <v>2442885</v>
      </c>
      <c r="F4" s="4" t="n">
        <v>111000</v>
      </c>
      <c r="G4" s="4" t="n">
        <v>4100</v>
      </c>
      <c r="H4" s="4" t="n">
        <v>53000</v>
      </c>
      <c r="I4" s="4" t="n">
        <v>635</v>
      </c>
      <c r="J4" s="4" t="n">
        <v>117000</v>
      </c>
      <c r="K4" s="4" t="n">
        <v>285405</v>
      </c>
      <c r="L4" s="4" t="n">
        <v>5134</v>
      </c>
      <c r="M4" s="4" t="n">
        <v>38.6</v>
      </c>
      <c r="N4" s="4" t="n">
        <v>22</v>
      </c>
      <c r="O4" s="7">
        <f>(F4+G4+H4)/E4*100</f>
        <v/>
      </c>
      <c r="P4" s="7">
        <f>F4/E4*100</f>
        <v/>
      </c>
      <c r="Q4" s="7">
        <f>H4/E4*100</f>
        <v/>
      </c>
      <c r="R4" s="7">
        <f>J4/E4*100</f>
        <v/>
      </c>
      <c r="S4" s="7">
        <f>IF(F4=0,0,G4/F4*100)</f>
        <v/>
      </c>
      <c r="T4" s="4" t="inlineStr">
        <is>
          <t>HIGH</t>
        </is>
      </c>
    </row>
    <row r="5" ht="15" customHeight="1" s="5">
      <c r="A5" s="4" t="n">
        <v>4</v>
      </c>
      <c r="B5" s="4" t="inlineStr">
        <is>
          <t>How it feels taking 2 hours to finish a lecture</t>
        </is>
      </c>
      <c r="C5" s="4" t="inlineStr">
        <is>
          <t>2025-09-21</t>
        </is>
      </c>
      <c r="D5" s="4" t="n">
        <v>10</v>
      </c>
      <c r="E5" s="4" t="n">
        <v>403779</v>
      </c>
      <c r="F5" s="4" t="n">
        <v>21000</v>
      </c>
      <c r="G5" s="4" t="n">
        <v>22</v>
      </c>
      <c r="H5" s="4" t="n">
        <v>3400</v>
      </c>
      <c r="I5" s="4" t="n">
        <v>200</v>
      </c>
      <c r="J5" s="4" t="n">
        <v>889</v>
      </c>
      <c r="K5" s="4" t="n">
        <v>25622</v>
      </c>
      <c r="L5" s="4" t="n">
        <v>23</v>
      </c>
      <c r="M5" s="4" t="n">
        <v>27.8</v>
      </c>
      <c r="N5" s="4" t="n">
        <v>8</v>
      </c>
      <c r="O5" s="7">
        <f>(F5+G5+H5)/E5*100</f>
        <v/>
      </c>
      <c r="P5" s="7">
        <f>F5/E5*100</f>
        <v/>
      </c>
      <c r="Q5" s="7">
        <f>H5/E5*100</f>
        <v/>
      </c>
      <c r="R5" s="7">
        <f>J5/E5*100</f>
        <v/>
      </c>
      <c r="S5" s="7">
        <f>IF(F5=0,0,G5/F5*100)</f>
        <v/>
      </c>
      <c r="T5" s="4" t="inlineStr">
        <is>
          <t>HIGH</t>
        </is>
      </c>
    </row>
    <row r="6" ht="15" customHeight="1" s="5">
      <c r="A6" s="4" t="n">
        <v>5</v>
      </c>
      <c r="B6" s="4" t="inlineStr">
        <is>
          <t>im cooked (summer days left)</t>
        </is>
      </c>
      <c r="C6" s="4" t="inlineStr">
        <is>
          <t>2025-08-09</t>
        </is>
      </c>
      <c r="D6" s="4" t="n">
        <v>6</v>
      </c>
      <c r="E6" s="4" t="n">
        <v>255260</v>
      </c>
      <c r="F6" s="4" t="n">
        <v>22000</v>
      </c>
      <c r="G6" s="4" t="n">
        <v>43</v>
      </c>
      <c r="H6" s="4" t="n">
        <v>5100</v>
      </c>
      <c r="I6" s="4" t="n">
        <v>1800</v>
      </c>
      <c r="J6" s="4" t="n">
        <v>545</v>
      </c>
      <c r="K6" s="4" t="n">
        <v>29205</v>
      </c>
      <c r="L6" s="4" t="n">
        <v>18</v>
      </c>
      <c r="M6" s="4" t="n">
        <v>49.8</v>
      </c>
      <c r="N6" s="4" t="n">
        <v>4</v>
      </c>
      <c r="O6" s="7">
        <f>(F6+G6+H6)/E6*100</f>
        <v/>
      </c>
      <c r="P6" s="7">
        <f>F6/E6*100</f>
        <v/>
      </c>
      <c r="Q6" s="7">
        <f>H6/E6*100</f>
        <v/>
      </c>
      <c r="R6" s="7">
        <f>J6/E6*100</f>
        <v/>
      </c>
      <c r="S6" s="7">
        <f>IF(F6=0,0,G6/F6*100)</f>
        <v/>
      </c>
      <c r="T6" s="4" t="inlineStr">
        <is>
          <t>HIGH</t>
        </is>
      </c>
    </row>
    <row r="7" ht="15" customHeight="1" s="5">
      <c r="A7" s="4" t="n">
        <v>6</v>
      </c>
      <c r="B7" s="4" t="inlineStr">
        <is>
          <t>academic comeback yall</t>
        </is>
      </c>
      <c r="C7" s="4" t="inlineStr">
        <is>
          <t>2025-07-21</t>
        </is>
      </c>
      <c r="D7" s="4" t="n">
        <v>6</v>
      </c>
      <c r="E7" s="4" t="n">
        <v>254083</v>
      </c>
      <c r="F7" s="4" t="n">
        <v>15000</v>
      </c>
      <c r="G7" s="4" t="n">
        <v>13</v>
      </c>
      <c r="H7" s="4" t="n">
        <v>3400</v>
      </c>
      <c r="I7" s="4" t="n">
        <v>26</v>
      </c>
      <c r="J7" s="4" t="n">
        <v>328</v>
      </c>
      <c r="K7" s="4" t="n">
        <v>18727</v>
      </c>
      <c r="L7" s="4" t="n">
        <v>17</v>
      </c>
      <c r="M7" s="4" t="n">
        <v>29.9</v>
      </c>
      <c r="N7" s="4" t="n">
        <v>5</v>
      </c>
      <c r="O7" s="7">
        <f>(F7+G7+H7)/E7*100</f>
        <v/>
      </c>
      <c r="P7" s="7">
        <f>F7/E7*100</f>
        <v/>
      </c>
      <c r="Q7" s="7">
        <f>H7/E7*100</f>
        <v/>
      </c>
      <c r="R7" s="7">
        <f>J7/E7*100</f>
        <v/>
      </c>
      <c r="S7" s="7">
        <f>IF(F7=0,0,G7/F7*100)</f>
        <v/>
      </c>
      <c r="T7" s="4" t="inlineStr">
        <is>
          <t>MID</t>
        </is>
      </c>
    </row>
    <row r="8" ht="15" customHeight="1" s="5">
      <c r="A8" s="4" t="n">
        <v>7</v>
      </c>
      <c r="B8" s="4" t="inlineStr">
        <is>
          <t>Ur almost there (do it bored)</t>
        </is>
      </c>
      <c r="C8" s="4" t="inlineStr">
        <is>
          <t>2025-10-10</t>
        </is>
      </c>
      <c r="D8" s="4" t="n">
        <v>15</v>
      </c>
      <c r="E8" s="4" t="n">
        <v>18201</v>
      </c>
      <c r="F8" s="4" t="n">
        <v>982</v>
      </c>
      <c r="G8" s="4" t="n">
        <v>2</v>
      </c>
      <c r="H8" s="4" t="n">
        <v>50</v>
      </c>
      <c r="I8" s="4" t="n">
        <v>31</v>
      </c>
      <c r="J8" s="4" t="n">
        <v>158</v>
      </c>
      <c r="K8" s="4" t="n">
        <v>1223</v>
      </c>
      <c r="L8" s="4" t="n">
        <v>8</v>
      </c>
      <c r="M8" s="4" t="n">
        <v>47.1</v>
      </c>
      <c r="N8" s="4" t="n">
        <v>5</v>
      </c>
      <c r="O8" s="7">
        <f>(F8+G8+H8)/E8*100</f>
        <v/>
      </c>
      <c r="P8" s="7">
        <f>F8/E8*100</f>
        <v/>
      </c>
      <c r="Q8" s="7">
        <f>H8/E8*100</f>
        <v/>
      </c>
      <c r="R8" s="7">
        <f>J8/E8*100</f>
        <v/>
      </c>
      <c r="S8" s="7">
        <f>IF(F8=0,0,G8/F8*100)</f>
        <v/>
      </c>
      <c r="T8" s="4" t="inlineStr">
        <is>
          <t>LOW</t>
        </is>
      </c>
    </row>
    <row r="9" ht="15" customHeight="1" s="5">
      <c r="A9" s="4" t="n">
        <v>8</v>
      </c>
      <c r="B9" s="4" t="inlineStr">
        <is>
          <t>last day of summer / remember what comes next</t>
        </is>
      </c>
      <c r="C9" s="4" t="inlineStr">
        <is>
          <t>2025-08-24</t>
        </is>
      </c>
      <c r="D9" s="4" t="n">
        <v>7</v>
      </c>
      <c r="E9" s="4" t="n">
        <v>28063</v>
      </c>
      <c r="F9" s="4" t="n">
        <v>823</v>
      </c>
      <c r="G9" s="4" t="n">
        <v>6</v>
      </c>
      <c r="H9" s="4" t="n">
        <v>334</v>
      </c>
      <c r="I9" s="4" t="n">
        <v>11</v>
      </c>
      <c r="J9" s="4" t="n">
        <v>36</v>
      </c>
      <c r="K9" s="4" t="n">
        <v>1210</v>
      </c>
      <c r="L9" s="4" t="n">
        <v>4</v>
      </c>
      <c r="M9" s="4" t="n">
        <v>40.1</v>
      </c>
      <c r="N9" s="4" t="n">
        <v>5</v>
      </c>
      <c r="O9" s="7">
        <f>(F9+G9+H9)/E9*100</f>
        <v/>
      </c>
      <c r="P9" s="7">
        <f>F9/E9*100</f>
        <v/>
      </c>
      <c r="Q9" s="7">
        <f>H9/E9*100</f>
        <v/>
      </c>
      <c r="R9" s="7">
        <f>J9/E9*100</f>
        <v/>
      </c>
      <c r="S9" s="7">
        <f>IF(F9=0,0,G9/F9*100)</f>
        <v/>
      </c>
      <c r="T9" s="4" t="inlineStr">
        <is>
          <t>LOW</t>
        </is>
      </c>
    </row>
    <row r="10" ht="15" customHeight="1" s="5">
      <c r="A10" s="4" t="n">
        <v>9</v>
      </c>
      <c r="B10" s="4" t="inlineStr">
        <is>
          <t>THEY SAID I CANT DO IT (Ivy League)</t>
        </is>
      </c>
      <c r="C10" s="4" t="inlineStr">
        <is>
          <t>2025-07-24</t>
        </is>
      </c>
      <c r="D10" s="4" t="n">
        <v>12</v>
      </c>
      <c r="E10" s="4" t="n">
        <v>49492</v>
      </c>
      <c r="F10" s="4" t="n">
        <v>303</v>
      </c>
      <c r="G10" s="4" t="n">
        <v>45</v>
      </c>
      <c r="H10" s="4" t="n">
        <v>433</v>
      </c>
      <c r="I10" s="4" t="n">
        <v>0</v>
      </c>
      <c r="J10" s="4" t="n">
        <v>65</v>
      </c>
      <c r="K10" s="4" t="n">
        <v>846</v>
      </c>
      <c r="L10" s="4" t="n">
        <v>25</v>
      </c>
      <c r="M10" s="4" t="n">
        <v>29.8</v>
      </c>
      <c r="N10" s="4" t="n">
        <v>10</v>
      </c>
      <c r="O10" s="7">
        <f>(F10+G10+H10)/E10*100</f>
        <v/>
      </c>
      <c r="P10" s="7">
        <f>F10/E10*100</f>
        <v/>
      </c>
      <c r="Q10" s="7">
        <f>H10/E10*100</f>
        <v/>
      </c>
      <c r="R10" s="7">
        <f>J10/E10*100</f>
        <v/>
      </c>
      <c r="S10" s="7">
        <f>IF(F10=0,0,G10/F10*100)</f>
        <v/>
      </c>
      <c r="T10" s="4" t="inlineStr">
        <is>
          <t>LOW</t>
        </is>
      </c>
    </row>
    <row r="11" ht="15" customHeight="1" s="5">
      <c r="A11" s="4" t="n">
        <v>10</v>
      </c>
      <c r="B11" s="4" t="inlineStr">
        <is>
          <t>ai teaches me better than my profs</t>
        </is>
      </c>
      <c r="C11" s="4" t="inlineStr">
        <is>
          <t>2025-08-04</t>
        </is>
      </c>
      <c r="D11" s="4" t="n">
        <v>9</v>
      </c>
      <c r="E11" s="4" t="n">
        <v>11319</v>
      </c>
      <c r="F11" s="4" t="n">
        <v>318</v>
      </c>
      <c r="G11" s="4" t="n">
        <v>4</v>
      </c>
      <c r="H11" s="4" t="n">
        <v>12</v>
      </c>
      <c r="I11" s="4" t="n">
        <v>0</v>
      </c>
      <c r="J11" s="4" t="n">
        <v>18</v>
      </c>
      <c r="K11" s="4" t="n">
        <v>352</v>
      </c>
      <c r="L11" s="4" t="n">
        <v>7</v>
      </c>
      <c r="M11" s="4" t="n">
        <v>41.4</v>
      </c>
      <c r="N11" s="4" t="n">
        <v>5</v>
      </c>
      <c r="O11" s="7">
        <f>(F11+G11+H11)/E11*100</f>
        <v/>
      </c>
      <c r="P11" s="7">
        <f>F11/E11*100</f>
        <v/>
      </c>
      <c r="Q11" s="7">
        <f>H11/E11*100</f>
        <v/>
      </c>
      <c r="R11" s="7">
        <f>J11/E11*100</f>
        <v/>
      </c>
      <c r="S11" s="7">
        <f>IF(F11=0,0,G11/F11*100)</f>
        <v/>
      </c>
      <c r="T11" s="4" t="inlineStr">
        <is>
          <t>LOW</t>
        </is>
      </c>
    </row>
  </sheetData>
  <autoFilter ref="A1:T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2026-04-10T03:42:36Z</dcterms:created>
  <dcterms:modified xmlns:dcterms="http://purl.org/dc/terms/" xmlns:xsi="http://www.w3.org/2001/XMLSchema-instance" xsi:type="dcterms:W3CDTF">2026-04-10T03:44:41Z</dcterms:modified>
  <cp:revision>0</cp:revision>
</cp:coreProperties>
</file>